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rco\Desktop\Dio\rtsxeifimoundal\"/>
    </mc:Choice>
  </mc:AlternateContent>
  <xr:revisionPtr revIDLastSave="0" documentId="13_ncr:1_{0EB1E911-A10D-4171-BBD5-2EA746B8FA1A}" xr6:coauthVersionLast="47" xr6:coauthVersionMax="47" xr10:uidLastSave="{00000000-0000-0000-0000-000000000000}"/>
  <bookViews>
    <workbookView xWindow="25490" yWindow="-110" windowWidth="25820" windowHeight="13900" tabRatio="500" xr2:uid="{00000000-000D-0000-FFFF-FFFF00000000}"/>
  </bookViews>
  <sheets>
    <sheet name="SIMULADOR" sheetId="1" r:id="rId1"/>
    <sheet name="AUXILIAR" sheetId="2" r:id="rId2"/>
  </sheets>
  <definedNames>
    <definedName name="Aporte">SIMULADOR!$C$16</definedName>
    <definedName name="patrimonio">SIMULADOR!$C$19</definedName>
    <definedName name="Qtde_anos">SIMULADOR!$C$17</definedName>
    <definedName name="Rendimento_Carteira">SIMULADOR!$C$12</definedName>
    <definedName name="Rendimento_Cateira">SIMULADOR!$C$12</definedName>
    <definedName name="salario">SIMULADOR!$C$11</definedName>
    <definedName name="sugestao_investimento">SIMULADOR!$C$13</definedName>
    <definedName name="taxa_mensal">SIMULADOR!$C$18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1" l="1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31" i="1"/>
  <c r="C27" i="1"/>
  <c r="D27" i="1" s="1"/>
  <c r="C26" i="1"/>
  <c r="D26" i="1" s="1"/>
  <c r="C25" i="1"/>
  <c r="D25" i="1" s="1"/>
  <c r="C24" i="1"/>
  <c r="D24" i="1" s="1"/>
  <c r="C23" i="1"/>
  <c r="D23" i="1" s="1"/>
  <c r="D19" i="1"/>
  <c r="D20" i="1" s="1"/>
  <c r="D13" i="1"/>
  <c r="C35" i="1" l="1"/>
  <c r="D35" i="1" s="1"/>
  <c r="C39" i="1"/>
  <c r="D39" i="1" s="1"/>
  <c r="C38" i="1"/>
  <c r="D38" i="1" s="1"/>
  <c r="D34" i="1"/>
  <c r="C37" i="1"/>
  <c r="D37" i="1" s="1"/>
  <c r="C36" i="1"/>
  <c r="D36" i="1" s="1"/>
  <c r="D4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tc={3764407A-5266-4B14-A618-FACB72C7AEB5}</author>
    <author>tc={5A414DF8-4F10-4124-A214-B0B2B2216944}</author>
    <author>tc={6D3439F7-F659-47E2-9B4A-0C744D9E7945}</author>
  </authors>
  <commentList>
    <comment ref="D11" authorId="0" shapeId="0" xr:uid="{3764407A-5266-4B14-A618-FACB72C7AEB5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🧾 Informe sua renda mensal líquida </t>
      </text>
    </comment>
    <comment ref="D12" authorId="1" shapeId="0" xr:uid="{5A414DF8-4F10-4124-A214-B0B2B2216944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📉 Estimativa de retorno ao mês (ex: 1%) </t>
      </text>
    </comment>
    <comment ref="D16" authorId="2" shapeId="0" xr:uid="{6D3439F7-F659-47E2-9B4A-0C744D9E7945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💸 Quanto você pode investir por mês? </t>
      </text>
    </comment>
  </commentList>
</comments>
</file>

<file path=xl/sharedStrings.xml><?xml version="1.0" encoding="utf-8"?>
<sst xmlns="http://schemas.openxmlformats.org/spreadsheetml/2006/main" count="72" uniqueCount="37">
  <si>
    <t>VARIÁVEIS</t>
  </si>
  <si>
    <t>INVESTIMENTO MENSAL</t>
  </si>
  <si>
    <t>CENÁRIOS</t>
  </si>
  <si>
    <t>DIVIDENDOS</t>
  </si>
  <si>
    <t>PERFIL</t>
  </si>
  <si>
    <t>AGRESSIVO</t>
  </si>
  <si>
    <t>TIPO FII</t>
  </si>
  <si>
    <t>% SUGERIDO</t>
  </si>
  <si>
    <t>VALORES</t>
  </si>
  <si>
    <t>TOTAL</t>
  </si>
  <si>
    <t>CHAVE</t>
  </si>
  <si>
    <t>TIPO DE FI</t>
  </si>
  <si>
    <t>PERCENTUAL</t>
  </si>
  <si>
    <t>CONSERVADOR</t>
  </si>
  <si>
    <t>MODERADO</t>
  </si>
  <si>
    <t>2 anos depois</t>
  </si>
  <si>
    <t>5 anos depois</t>
  </si>
  <si>
    <t>10 anos de retorno</t>
  </si>
  <si>
    <t>Projeção: 20 anos</t>
  </si>
  <si>
    <t>Simulação: 30 anos</t>
  </si>
  <si>
    <t>Renda mensal</t>
  </si>
  <si>
    <t>Rentabilidade esperada (%)</t>
  </si>
  <si>
    <t>Valor sugerido para investir</t>
  </si>
  <si>
    <t>Aporte mensal</t>
  </si>
  <si>
    <t>Duração do investimento (anos)</t>
  </si>
  <si>
    <t>Rentabilidade mensal (%)</t>
  </si>
  <si>
    <t>Total estimado acumulado</t>
  </si>
  <si>
    <t>Renda passiva estimada (mensal)</t>
  </si>
  <si>
    <t>Perfil do investidor</t>
  </si>
  <si>
    <t>FIIs de Papel</t>
  </si>
  <si>
    <t>FIIs de Tijolo</t>
  </si>
  <si>
    <t>FIIs Híbridos</t>
  </si>
  <si>
    <t>Fundos de Fundos</t>
  </si>
  <si>
    <t>Desenvolvimento</t>
  </si>
  <si>
    <t>Hotéis</t>
  </si>
  <si>
    <t>📢 Simulador de Investimentos
Preencha os campos destacados para estimar seu patrimônio futuro com base no seu perfil de investidor.</t>
  </si>
  <si>
    <t>Clique no botão para limpar os campos editáveis e iniciar uma nova simulação.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</si>
</sst>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R$-416]\ #,##0.00;[Red]\-[$R$-416]\ #,##0.00"/>
  </numFmts>
  <fonts count="12" x14ac:knownFonts="1">
    <font>
      <sz val="10"/>
      <name val="Arial"/>
      <family val="2"/>
    </font>
    <font>
      <sz val="10"/>
      <color rgb="FFFFFFFF"/>
      <name val="Arial"/>
      <family val="2"/>
    </font>
    <font>
      <b/>
      <sz val="10"/>
      <name val="Aptos"/>
      <family val="2"/>
    </font>
    <font>
      <sz val="10"/>
      <name val="Aptos"/>
      <family val="2"/>
    </font>
    <font>
      <b/>
      <sz val="10"/>
      <color theme="0"/>
      <name val="Aptos"/>
      <family val="2"/>
    </font>
    <font>
      <b/>
      <sz val="10"/>
      <color rgb="FF000000"/>
      <name val="Aptos"/>
      <family val="2"/>
    </font>
    <font>
      <b/>
      <sz val="10"/>
      <color rgb="FFFFFFFF"/>
      <name val="Aptos Display"/>
      <family val="2"/>
    </font>
    <font>
      <b/>
      <sz val="10"/>
      <color theme="0"/>
      <name val="Aptos Display"/>
      <family val="2"/>
    </font>
    <font>
      <sz val="10"/>
      <color theme="0"/>
      <name val="Aptos Black"/>
      <family val="2"/>
    </font>
    <font>
      <b/>
      <sz val="9"/>
      <color theme="0"/>
      <name val="Aptos Display"/>
      <family val="2"/>
    </font>
    <font>
      <sz val="11"/>
      <name val="Aptos Black"/>
      <family val="2"/>
    </font>
    <font>
      <sz val="8"/>
      <name val="Aptos"/>
      <family val="2"/>
    </font>
  </fonts>
  <fills count="7">
    <fill>
      <patternFill patternType="none"/>
    </fill>
    <fill>
      <patternFill patternType="gray125"/>
    </fill>
    <fill>
      <patternFill patternType="solid">
        <fgColor rgb="FFCCCCCC"/>
        <bgColor rgb="FFDDDDDD"/>
      </patternFill>
    </fill>
    <fill>
      <patternFill patternType="solid">
        <fgColor rgb="FFDDDDDD"/>
        <bgColor rgb="FFCCCCCC"/>
      </patternFill>
    </fill>
    <fill>
      <patternFill patternType="solid">
        <fgColor rgb="FFCC0000"/>
        <bgColor rgb="FF993300"/>
      </patternFill>
    </fill>
    <fill>
      <patternFill patternType="solid">
        <fgColor rgb="FFCC0000"/>
        <bgColor rgb="FFCCCCCC"/>
      </patternFill>
    </fill>
    <fill>
      <patternFill patternType="solid">
        <fgColor rgb="FFCC0000"/>
        <bgColor rgb="FFDDDDDD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9" fontId="0" fillId="0" borderId="0" xfId="0" applyNumberFormat="1"/>
    <xf numFmtId="164" fontId="3" fillId="0" borderId="1" xfId="0" applyNumberFormat="1" applyFont="1" applyBorder="1" applyAlignment="1">
      <alignment horizontal="center"/>
    </xf>
    <xf numFmtId="0" fontId="3" fillId="0" borderId="0" xfId="0" applyFont="1"/>
    <xf numFmtId="164" fontId="3" fillId="3" borderId="1" xfId="0" applyNumberFormat="1" applyFont="1" applyFill="1" applyBorder="1" applyAlignment="1">
      <alignment horizontal="center"/>
    </xf>
    <xf numFmtId="0" fontId="2" fillId="3" borderId="1" xfId="0" applyFont="1" applyFill="1" applyBorder="1"/>
    <xf numFmtId="0" fontId="6" fillId="4" borderId="0" xfId="0" applyFont="1" applyFill="1" applyAlignment="1">
      <alignment horizontal="center"/>
    </xf>
    <xf numFmtId="0" fontId="2" fillId="2" borderId="1" xfId="0" applyFont="1" applyFill="1" applyBorder="1"/>
    <xf numFmtId="0" fontId="5" fillId="2" borderId="1" xfId="0" applyFont="1" applyFill="1" applyBorder="1"/>
    <xf numFmtId="9" fontId="2" fillId="2" borderId="1" xfId="0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5" fillId="2" borderId="1" xfId="0" applyNumberFormat="1" applyFont="1" applyFill="1" applyBorder="1" applyAlignment="1">
      <alignment horizontal="center"/>
    </xf>
    <xf numFmtId="164" fontId="8" fillId="6" borderId="1" xfId="0" applyNumberFormat="1" applyFont="1" applyFill="1" applyBorder="1" applyAlignment="1">
      <alignment horizontal="center"/>
    </xf>
    <xf numFmtId="164" fontId="8" fillId="5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/>
    </xf>
    <xf numFmtId="9" fontId="3" fillId="0" borderId="0" xfId="0" applyNumberFormat="1" applyFont="1"/>
    <xf numFmtId="0" fontId="0" fillId="0" borderId="4" xfId="0" applyBorder="1"/>
    <xf numFmtId="164" fontId="2" fillId="0" borderId="1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6" fillId="4" borderId="2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3" xfId="0" applyFont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49109</xdr:colOff>
      <xdr:row>0</xdr:row>
      <xdr:rowOff>119009</xdr:rowOff>
    </xdr:from>
    <xdr:to>
      <xdr:col>3</xdr:col>
      <xdr:colOff>836077</xdr:colOff>
      <xdr:row>5</xdr:row>
      <xdr:rowOff>74010</xdr:rowOff>
    </xdr:to>
    <xdr:pic>
      <xdr:nvPicPr>
        <xdr:cNvPr id="2" name="Figura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592" y="119009"/>
          <a:ext cx="777443" cy="777545"/>
        </a:xfrm>
        <a:prstGeom prst="rect">
          <a:avLst/>
        </a:prstGeom>
        <a:noFill/>
        <a:ln w="0">
          <a:noFill/>
        </a:ln>
      </xdr:spPr>
    </xdr:pic>
    <xdr:clientData/>
  </xdr:twoCellAnchor>
  <xdr:twoCellAnchor>
    <xdr:from>
      <xdr:col>3</xdr:col>
      <xdr:colOff>69850</xdr:colOff>
      <xdr:row>6</xdr:row>
      <xdr:rowOff>63500</xdr:rowOff>
    </xdr:from>
    <xdr:to>
      <xdr:col>3</xdr:col>
      <xdr:colOff>850900</xdr:colOff>
      <xdr:row>8</xdr:row>
      <xdr:rowOff>107950</xdr:rowOff>
    </xdr:to>
    <xdr:sp macro="[0]!NovaSimulac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068844C-F554-EFA3-14CC-37EFC31DBF2E}"/>
            </a:ext>
          </a:extLst>
        </xdr:cNvPr>
        <xdr:cNvSpPr/>
      </xdr:nvSpPr>
      <xdr:spPr>
        <a:xfrm>
          <a:off x="2844800" y="1054100"/>
          <a:ext cx="781050" cy="374650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>
              <a:latin typeface="Aptos Black" panose="020B0004020202020204" pitchFamily="34" charset="0"/>
            </a:rPr>
            <a:t>🔄 Nova Simulação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co Reis" id="{B0390A1D-A629-4567-B872-0EC298F70361}" userId="65a1a0a9cd5f88a3" providerId="Windows Live"/>
</personList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1" dT="2025-06-14T23:19:06.31" personId="{B0390A1D-A629-4567-B872-0EC298F70361}" id="{3764407A-5266-4B14-A618-FACB72C7AEB5}">
    <text xml:space="preserve">🧾 Informe sua renda mensal líquida </text>
  </threadedComment>
  <threadedComment ref="D12" dT="2025-06-14T23:19:19.67" personId="{B0390A1D-A629-4567-B872-0EC298F70361}" id="{5A414DF8-4F10-4124-A214-B0B2B2216944}">
    <text xml:space="preserve">📉 Estimativa de retorno ao mês (ex: 1%) </text>
  </threadedComment>
  <threadedComment ref="D16" dT="2025-06-14T23:19:45.28" personId="{B0390A1D-A629-4567-B872-0EC298F70361}" id="{6D3439F7-F659-47E2-9B4A-0C744D9E7945}">
    <text xml:space="preserve">💸 Quanto você pode investir por mês?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42"/>
  <sheetViews>
    <sheetView showGridLines="0" tabSelected="1" topLeftCell="A2" zoomScale="85" zoomScaleNormal="85" workbookViewId="0">
      <selection activeCell="B7" sqref="B7:C9"/>
    </sheetView>
  </sheetViews>
  <sheetFormatPr defaultColWidth="0" defaultRowHeight="12.75" customHeight="1" x14ac:dyDescent="0.2"/>
  <cols>
    <col min="1" max="1" width="5.7109375" customWidth="1"/>
    <col min="2" max="2" width="20" customWidth="1"/>
    <col min="3" max="3" width="15.85546875" customWidth="1"/>
    <col min="4" max="4" width="13.85546875" customWidth="1"/>
    <col min="5" max="5" width="4.28515625" customWidth="1"/>
    <col min="6" max="6" width="4.28515625" hidden="1" customWidth="1"/>
    <col min="7" max="7" width="26.140625" hidden="1" customWidth="1"/>
    <col min="8" max="16384" width="4.28515625" hidden="1"/>
  </cols>
  <sheetData>
    <row r="1" spans="2:4" x14ac:dyDescent="0.2">
      <c r="B1" s="26" t="s">
        <v>35</v>
      </c>
      <c r="C1" s="26"/>
      <c r="D1" s="27"/>
    </row>
    <row r="2" spans="2:4" x14ac:dyDescent="0.2">
      <c r="B2" s="26"/>
      <c r="C2" s="26"/>
      <c r="D2" s="27"/>
    </row>
    <row r="3" spans="2:4" x14ac:dyDescent="0.2">
      <c r="B3" s="26"/>
      <c r="C3" s="26"/>
      <c r="D3" s="27"/>
    </row>
    <row r="4" spans="2:4" x14ac:dyDescent="0.2">
      <c r="B4" s="26"/>
      <c r="C4" s="26"/>
      <c r="D4" s="27"/>
    </row>
    <row r="5" spans="2:4" x14ac:dyDescent="0.2">
      <c r="B5" s="26"/>
      <c r="C5" s="26"/>
      <c r="D5" s="27"/>
    </row>
    <row r="6" spans="2:4" x14ac:dyDescent="0.2">
      <c r="B6" s="26"/>
      <c r="C6" s="26"/>
      <c r="D6" s="27"/>
    </row>
    <row r="7" spans="2:4" x14ac:dyDescent="0.2">
      <c r="B7" s="31" t="s">
        <v>36</v>
      </c>
      <c r="C7" s="32"/>
    </row>
    <row r="8" spans="2:4" x14ac:dyDescent="0.2">
      <c r="B8" s="32"/>
      <c r="C8" s="32"/>
    </row>
    <row r="9" spans="2:4" x14ac:dyDescent="0.2">
      <c r="B9" s="33"/>
      <c r="C9" s="33"/>
      <c r="D9" s="18"/>
    </row>
    <row r="10" spans="2:4" ht="13.5" x14ac:dyDescent="0.2">
      <c r="B10" s="30" t="s">
        <v>0</v>
      </c>
      <c r="C10" s="30"/>
      <c r="D10" s="30"/>
    </row>
    <row r="11" spans="2:4" ht="13.5" x14ac:dyDescent="0.25">
      <c r="B11" s="25" t="s">
        <v>20</v>
      </c>
      <c r="C11" s="25"/>
      <c r="D11" s="19">
        <v>2500</v>
      </c>
    </row>
    <row r="12" spans="2:4" ht="13.5" x14ac:dyDescent="0.25">
      <c r="B12" s="25" t="s">
        <v>21</v>
      </c>
      <c r="C12" s="25"/>
      <c r="D12" s="20">
        <v>0.01</v>
      </c>
    </row>
    <row r="13" spans="2:4" ht="13.5" x14ac:dyDescent="0.25">
      <c r="B13" s="25" t="s">
        <v>22</v>
      </c>
      <c r="C13" s="25"/>
      <c r="D13" s="13">
        <f>D11*30%</f>
        <v>750</v>
      </c>
    </row>
    <row r="14" spans="2:4" ht="13.5" x14ac:dyDescent="0.25">
      <c r="B14" s="4"/>
      <c r="C14" s="4"/>
      <c r="D14" s="4"/>
    </row>
    <row r="15" spans="2:4" ht="13.5" x14ac:dyDescent="0.2">
      <c r="B15" s="23" t="s">
        <v>1</v>
      </c>
      <c r="C15" s="23"/>
      <c r="D15" s="23"/>
    </row>
    <row r="16" spans="2:4" ht="13.5" x14ac:dyDescent="0.25">
      <c r="B16" s="28" t="s">
        <v>23</v>
      </c>
      <c r="C16" s="28"/>
      <c r="D16" s="21">
        <v>750</v>
      </c>
    </row>
    <row r="17" spans="1:4" ht="13.5" x14ac:dyDescent="0.25">
      <c r="B17" s="25" t="s">
        <v>24</v>
      </c>
      <c r="C17" s="25"/>
      <c r="D17" s="22">
        <v>5</v>
      </c>
    </row>
    <row r="18" spans="1:4" ht="13.5" x14ac:dyDescent="0.25">
      <c r="B18" s="25" t="s">
        <v>25</v>
      </c>
      <c r="C18" s="25"/>
      <c r="D18" s="20">
        <v>1.0789999999999999E-2</v>
      </c>
    </row>
    <row r="19" spans="1:4" ht="13.5" x14ac:dyDescent="0.25">
      <c r="B19" s="29" t="s">
        <v>26</v>
      </c>
      <c r="C19" s="29"/>
      <c r="D19" s="14">
        <f>FV(D18,D17*12,D16*-1)</f>
        <v>62832.685498865736</v>
      </c>
    </row>
    <row r="20" spans="1:4" ht="13.5" x14ac:dyDescent="0.25">
      <c r="B20" s="29" t="s">
        <v>27</v>
      </c>
      <c r="C20" s="29"/>
      <c r="D20" s="14">
        <f>D19*D12</f>
        <v>628.32685498865737</v>
      </c>
    </row>
    <row r="21" spans="1:4" ht="13.5" x14ac:dyDescent="0.25">
      <c r="B21" s="4"/>
      <c r="C21" s="4"/>
      <c r="D21" s="4"/>
    </row>
    <row r="22" spans="1:4" ht="13.5" x14ac:dyDescent="0.25">
      <c r="B22" s="23" t="s">
        <v>2</v>
      </c>
      <c r="C22" s="23"/>
      <c r="D22" s="16" t="s">
        <v>3</v>
      </c>
    </row>
    <row r="23" spans="1:4" ht="13.5" x14ac:dyDescent="0.25">
      <c r="A23" s="1">
        <v>2</v>
      </c>
      <c r="B23" s="6" t="s">
        <v>15</v>
      </c>
      <c r="C23" s="5">
        <f>FV($D$18,A23*12,$D$16*-1)</f>
        <v>20420.720473233912</v>
      </c>
      <c r="D23" s="5">
        <f>C23*$D$12</f>
        <v>204.20720473233914</v>
      </c>
    </row>
    <row r="24" spans="1:4" ht="13.5" x14ac:dyDescent="0.25">
      <c r="A24" s="1">
        <v>5</v>
      </c>
      <c r="B24" s="6" t="s">
        <v>16</v>
      </c>
      <c r="C24" s="5">
        <f>FV($D$18,A24*12,$D$16*-1)</f>
        <v>62832.685498865736</v>
      </c>
      <c r="D24" s="5">
        <f>C24*$D$12</f>
        <v>628.32685498865737</v>
      </c>
    </row>
    <row r="25" spans="1:4" ht="13.5" x14ac:dyDescent="0.25">
      <c r="A25" s="1">
        <v>10</v>
      </c>
      <c r="B25" s="6" t="s">
        <v>17</v>
      </c>
      <c r="C25" s="5">
        <f>FV($D$18,A25*12,$D$16*-1)</f>
        <v>182463.15939762915</v>
      </c>
      <c r="D25" s="5">
        <f>C25*$D$12</f>
        <v>1824.6315939762915</v>
      </c>
    </row>
    <row r="26" spans="1:4" ht="13.5" x14ac:dyDescent="0.25">
      <c r="A26" s="1">
        <v>20</v>
      </c>
      <c r="B26" s="6" t="s">
        <v>18</v>
      </c>
      <c r="C26" s="5">
        <f>FV($D$18,A26*12,$D$16*-1)</f>
        <v>843898.8000728105</v>
      </c>
      <c r="D26" s="5">
        <f>C26*$D$12</f>
        <v>8438.9880007281045</v>
      </c>
    </row>
    <row r="27" spans="1:4" ht="13.5" x14ac:dyDescent="0.25">
      <c r="A27" s="1">
        <v>30</v>
      </c>
      <c r="B27" s="6" t="s">
        <v>19</v>
      </c>
      <c r="C27" s="5">
        <f>FV($D$18,A27*12,$D$16*-1)</f>
        <v>3241627.2412535357</v>
      </c>
      <c r="D27" s="5">
        <f>C27*$D$12</f>
        <v>32416.27241253536</v>
      </c>
    </row>
    <row r="28" spans="1:4" ht="13.5" x14ac:dyDescent="0.25">
      <c r="B28" s="4"/>
      <c r="C28" s="4"/>
      <c r="D28" s="4"/>
    </row>
    <row r="29" spans="1:4" ht="13.5" x14ac:dyDescent="0.25">
      <c r="B29" s="4"/>
      <c r="C29" s="4"/>
      <c r="D29" s="4"/>
    </row>
    <row r="30" spans="1:4" ht="13.5" x14ac:dyDescent="0.2">
      <c r="B30" s="24" t="s">
        <v>28</v>
      </c>
      <c r="C30" s="24"/>
      <c r="D30" s="15" t="s">
        <v>5</v>
      </c>
    </row>
    <row r="31" spans="1:4" ht="13.5" x14ac:dyDescent="0.25">
      <c r="B31" s="25" t="s">
        <v>23</v>
      </c>
      <c r="C31" s="25"/>
      <c r="D31" s="3">
        <f>D16</f>
        <v>750</v>
      </c>
    </row>
    <row r="32" spans="1:4" ht="13.5" x14ac:dyDescent="0.25">
      <c r="B32" s="4"/>
      <c r="C32" s="4"/>
      <c r="D32" s="4"/>
    </row>
    <row r="33" spans="2:4" ht="13.5" x14ac:dyDescent="0.25">
      <c r="B33" s="7" t="s">
        <v>6</v>
      </c>
      <c r="C33" s="7" t="s">
        <v>7</v>
      </c>
      <c r="D33" s="7" t="s">
        <v>8</v>
      </c>
    </row>
    <row r="34" spans="2:4" ht="13.5" x14ac:dyDescent="0.25">
      <c r="B34" s="8" t="s">
        <v>29</v>
      </c>
      <c r="C34" s="10">
        <f>VLOOKUP($D$30&amp; "|"&amp;B34,AUXILIAR!A:D,4,0)</f>
        <v>0.45</v>
      </c>
      <c r="D34" s="11">
        <f t="shared" ref="D34:D39" si="0">C34*$D$31</f>
        <v>337.5</v>
      </c>
    </row>
    <row r="35" spans="2:4" ht="13.5" x14ac:dyDescent="0.25">
      <c r="B35" s="8" t="s">
        <v>30</v>
      </c>
      <c r="C35" s="10">
        <f>VLOOKUP($D$30&amp; "|"&amp;B35,AUXILIAR!A:D,4,0)</f>
        <v>0.15</v>
      </c>
      <c r="D35" s="11">
        <f t="shared" si="0"/>
        <v>112.5</v>
      </c>
    </row>
    <row r="36" spans="2:4" ht="13.5" x14ac:dyDescent="0.25">
      <c r="B36" s="8" t="s">
        <v>31</v>
      </c>
      <c r="C36" s="10">
        <f>VLOOKUP($D$30&amp; "|"&amp;B36,AUXILIAR!A:D,4,0)</f>
        <v>0.1</v>
      </c>
      <c r="D36" s="11">
        <f t="shared" si="0"/>
        <v>75</v>
      </c>
    </row>
    <row r="37" spans="2:4" ht="13.5" x14ac:dyDescent="0.25">
      <c r="B37" s="8" t="s">
        <v>32</v>
      </c>
      <c r="C37" s="10">
        <f>VLOOKUP($D$30&amp; "|"&amp;B37,AUXILIAR!A:D,4,0)</f>
        <v>0.1</v>
      </c>
      <c r="D37" s="11">
        <f t="shared" si="0"/>
        <v>75</v>
      </c>
    </row>
    <row r="38" spans="2:4" ht="13.5" x14ac:dyDescent="0.25">
      <c r="B38" s="8" t="s">
        <v>33</v>
      </c>
      <c r="C38" s="10">
        <f>VLOOKUP($D$30&amp; "|"&amp;B38,AUXILIAR!A:D,4,0)</f>
        <v>0.1</v>
      </c>
      <c r="D38" s="11">
        <f t="shared" si="0"/>
        <v>75</v>
      </c>
    </row>
    <row r="39" spans="2:4" ht="13.5" x14ac:dyDescent="0.25">
      <c r="B39" s="8" t="s">
        <v>34</v>
      </c>
      <c r="C39" s="10">
        <f>VLOOKUP($D$30&amp; "|"&amp;B39,AUXILIAR!A:D,4,0)</f>
        <v>0.1</v>
      </c>
      <c r="D39" s="11">
        <f t="shared" si="0"/>
        <v>75</v>
      </c>
    </row>
    <row r="40" spans="2:4" ht="13.5" x14ac:dyDescent="0.25">
      <c r="B40" s="9" t="s">
        <v>9</v>
      </c>
      <c r="C40" s="9"/>
      <c r="D40" s="12">
        <f>SUM(D34:D39)</f>
        <v>750</v>
      </c>
    </row>
    <row r="41" spans="2:4" x14ac:dyDescent="0.2"/>
    <row r="42" spans="2:4" x14ac:dyDescent="0.2"/>
  </sheetData>
  <mergeCells count="16">
    <mergeCell ref="B22:C22"/>
    <mergeCell ref="B30:C30"/>
    <mergeCell ref="B31:C31"/>
    <mergeCell ref="B1:C6"/>
    <mergeCell ref="D1:D6"/>
    <mergeCell ref="B16:C16"/>
    <mergeCell ref="B17:C17"/>
    <mergeCell ref="B18:C18"/>
    <mergeCell ref="B19:C19"/>
    <mergeCell ref="B20:C20"/>
    <mergeCell ref="B10:D10"/>
    <mergeCell ref="B11:C11"/>
    <mergeCell ref="B12:C12"/>
    <mergeCell ref="B13:C13"/>
    <mergeCell ref="B15:D15"/>
    <mergeCell ref="B7:C9"/>
  </mergeCells>
  <dataValidations count="1">
    <dataValidation type="list" operator="equal" showErrorMessage="1" sqref="C30:D30" xr:uid="{00000000-0002-0000-0000-000000000000}">
      <formula1>"CONSERVADOR,MODERADO,AGRESSIVO"</formula1>
      <formula2>0</formula2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Roman,Normal"&amp;12&amp;A</oddHeader>
    <oddFooter>&amp;C&amp;"Times New Roman,Normal"&amp;12Página &amp;P</oddFoot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19"/>
  <sheetViews>
    <sheetView zoomScale="140" zoomScaleNormal="140" workbookViewId="0">
      <selection sqref="A1:D19"/>
    </sheetView>
  </sheetViews>
  <sheetFormatPr defaultColWidth="11.5703125" defaultRowHeight="12.75" customHeight="1" x14ac:dyDescent="0.2"/>
  <cols>
    <col min="1" max="1" width="34.28515625" customWidth="1"/>
    <col min="2" max="2" width="16.5703125" customWidth="1"/>
    <col min="3" max="3" width="38.7109375" customWidth="1"/>
    <col min="4" max="4" width="28.42578125" style="2" customWidth="1"/>
  </cols>
  <sheetData>
    <row r="1" spans="1:4" ht="12.75" customHeight="1" x14ac:dyDescent="0.25">
      <c r="A1" s="4" t="s">
        <v>10</v>
      </c>
      <c r="B1" s="4" t="s">
        <v>4</v>
      </c>
      <c r="C1" s="4" t="s">
        <v>11</v>
      </c>
      <c r="D1" s="17" t="s">
        <v>12</v>
      </c>
    </row>
    <row r="2" spans="1:4" ht="12.75" customHeight="1" x14ac:dyDescent="0.25">
      <c r="A2" s="4" t="str">
        <f t="shared" ref="A2:A19" si="0">B2&amp;"|"&amp;C2</f>
        <v>CONSERVADOR|FIIs de Papel</v>
      </c>
      <c r="B2" s="4" t="s">
        <v>13</v>
      </c>
      <c r="C2" s="4" t="s">
        <v>29</v>
      </c>
      <c r="D2" s="17">
        <v>0.3</v>
      </c>
    </row>
    <row r="3" spans="1:4" ht="12.75" customHeight="1" x14ac:dyDescent="0.25">
      <c r="A3" s="4" t="str">
        <f t="shared" si="0"/>
        <v>CONSERVADOR|FIIs de Tijolo</v>
      </c>
      <c r="B3" s="4" t="s">
        <v>13</v>
      </c>
      <c r="C3" s="4" t="s">
        <v>30</v>
      </c>
      <c r="D3" s="17">
        <v>0.5</v>
      </c>
    </row>
    <row r="4" spans="1:4" ht="12.75" customHeight="1" x14ac:dyDescent="0.25">
      <c r="A4" s="4" t="str">
        <f t="shared" si="0"/>
        <v>CONSERVADOR|FIIs Híbridos</v>
      </c>
      <c r="B4" s="4" t="s">
        <v>13</v>
      </c>
      <c r="C4" s="4" t="s">
        <v>31</v>
      </c>
      <c r="D4" s="17">
        <v>0.1</v>
      </c>
    </row>
    <row r="5" spans="1:4" ht="12.75" customHeight="1" x14ac:dyDescent="0.25">
      <c r="A5" s="4" t="str">
        <f t="shared" si="0"/>
        <v>CONSERVADOR|Fundos de Fundos</v>
      </c>
      <c r="B5" s="4" t="s">
        <v>13</v>
      </c>
      <c r="C5" s="4" t="s">
        <v>32</v>
      </c>
      <c r="D5" s="17">
        <v>0.1</v>
      </c>
    </row>
    <row r="6" spans="1:4" ht="12.75" customHeight="1" x14ac:dyDescent="0.25">
      <c r="A6" s="4" t="str">
        <f t="shared" si="0"/>
        <v>CONSERVADOR|Desenvolvimento</v>
      </c>
      <c r="B6" s="4" t="s">
        <v>13</v>
      </c>
      <c r="C6" s="4" t="s">
        <v>33</v>
      </c>
      <c r="D6" s="17">
        <v>0</v>
      </c>
    </row>
    <row r="7" spans="1:4" ht="12.75" customHeight="1" x14ac:dyDescent="0.25">
      <c r="A7" s="4" t="str">
        <f t="shared" si="0"/>
        <v>CONSERVADOR|Hotéis</v>
      </c>
      <c r="B7" s="4" t="s">
        <v>13</v>
      </c>
      <c r="C7" s="4" t="s">
        <v>34</v>
      </c>
      <c r="D7" s="17">
        <v>0</v>
      </c>
    </row>
    <row r="8" spans="1:4" ht="12.75" customHeight="1" x14ac:dyDescent="0.25">
      <c r="A8" s="4" t="str">
        <f t="shared" si="0"/>
        <v>MODERADO|FIIs de Papel</v>
      </c>
      <c r="B8" s="4" t="s">
        <v>14</v>
      </c>
      <c r="C8" s="4" t="s">
        <v>29</v>
      </c>
      <c r="D8" s="17">
        <v>0.4</v>
      </c>
    </row>
    <row r="9" spans="1:4" ht="12.75" customHeight="1" x14ac:dyDescent="0.25">
      <c r="A9" s="4" t="str">
        <f t="shared" si="0"/>
        <v>MODERADO|FIIs de Tijolo</v>
      </c>
      <c r="B9" s="4" t="s">
        <v>14</v>
      </c>
      <c r="C9" s="4" t="s">
        <v>30</v>
      </c>
      <c r="D9" s="17">
        <v>0.4</v>
      </c>
    </row>
    <row r="10" spans="1:4" ht="12.75" customHeight="1" x14ac:dyDescent="0.25">
      <c r="A10" s="4" t="str">
        <f t="shared" si="0"/>
        <v>MODERADO|FIIs Híbridos</v>
      </c>
      <c r="B10" s="4" t="s">
        <v>14</v>
      </c>
      <c r="C10" s="4" t="s">
        <v>31</v>
      </c>
      <c r="D10" s="17">
        <v>0.1</v>
      </c>
    </row>
    <row r="11" spans="1:4" ht="12.75" customHeight="1" x14ac:dyDescent="0.25">
      <c r="A11" s="4" t="str">
        <f t="shared" si="0"/>
        <v>MODERADO|Fundos de Fundos</v>
      </c>
      <c r="B11" s="4" t="s">
        <v>14</v>
      </c>
      <c r="C11" s="4" t="s">
        <v>32</v>
      </c>
      <c r="D11" s="17">
        <v>0.1</v>
      </c>
    </row>
    <row r="12" spans="1:4" ht="12.75" customHeight="1" x14ac:dyDescent="0.25">
      <c r="A12" s="4" t="str">
        <f t="shared" si="0"/>
        <v>MODERADO|Desenvolvimento</v>
      </c>
      <c r="B12" s="4" t="s">
        <v>14</v>
      </c>
      <c r="C12" s="4" t="s">
        <v>33</v>
      </c>
      <c r="D12" s="17">
        <v>0</v>
      </c>
    </row>
    <row r="13" spans="1:4" ht="12.75" customHeight="1" x14ac:dyDescent="0.25">
      <c r="A13" s="4" t="str">
        <f t="shared" si="0"/>
        <v>MODERADO|Hotéis</v>
      </c>
      <c r="B13" s="4" t="s">
        <v>14</v>
      </c>
      <c r="C13" s="4" t="s">
        <v>34</v>
      </c>
      <c r="D13" s="17">
        <v>0</v>
      </c>
    </row>
    <row r="14" spans="1:4" ht="12.75" customHeight="1" x14ac:dyDescent="0.25">
      <c r="A14" s="4" t="str">
        <f t="shared" si="0"/>
        <v>AGRESSIVO|FIIs de Papel</v>
      </c>
      <c r="B14" s="4" t="s">
        <v>5</v>
      </c>
      <c r="C14" s="4" t="s">
        <v>29</v>
      </c>
      <c r="D14" s="17">
        <v>0.45</v>
      </c>
    </row>
    <row r="15" spans="1:4" ht="12.75" customHeight="1" x14ac:dyDescent="0.25">
      <c r="A15" s="4" t="str">
        <f t="shared" si="0"/>
        <v>AGRESSIVO|FIIs de Tijolo</v>
      </c>
      <c r="B15" s="4" t="s">
        <v>5</v>
      </c>
      <c r="C15" s="4" t="s">
        <v>30</v>
      </c>
      <c r="D15" s="17">
        <v>0.15</v>
      </c>
    </row>
    <row r="16" spans="1:4" ht="12.75" customHeight="1" x14ac:dyDescent="0.25">
      <c r="A16" s="4" t="str">
        <f t="shared" si="0"/>
        <v>AGRESSIVO|FIIs Híbridos</v>
      </c>
      <c r="B16" s="4" t="s">
        <v>5</v>
      </c>
      <c r="C16" s="4" t="s">
        <v>31</v>
      </c>
      <c r="D16" s="17">
        <v>0.1</v>
      </c>
    </row>
    <row r="17" spans="1:4" ht="12.75" customHeight="1" x14ac:dyDescent="0.25">
      <c r="A17" s="4" t="str">
        <f t="shared" si="0"/>
        <v>AGRESSIVO|Fundos de Fundos</v>
      </c>
      <c r="B17" s="4" t="s">
        <v>5</v>
      </c>
      <c r="C17" s="4" t="s">
        <v>32</v>
      </c>
      <c r="D17" s="17">
        <v>0.1</v>
      </c>
    </row>
    <row r="18" spans="1:4" ht="12.75" customHeight="1" x14ac:dyDescent="0.25">
      <c r="A18" s="4" t="str">
        <f t="shared" si="0"/>
        <v>AGRESSIVO|Desenvolvimento</v>
      </c>
      <c r="B18" s="4" t="s">
        <v>5</v>
      </c>
      <c r="C18" s="4" t="s">
        <v>33</v>
      </c>
      <c r="D18" s="17">
        <v>0.1</v>
      </c>
    </row>
    <row r="19" spans="1:4" ht="12.75" customHeight="1" x14ac:dyDescent="0.25">
      <c r="A19" s="4" t="str">
        <f t="shared" si="0"/>
        <v>AGRESSIVO|Hotéis</v>
      </c>
      <c r="B19" s="4" t="s">
        <v>5</v>
      </c>
      <c r="C19" s="4" t="s">
        <v>34</v>
      </c>
      <c r="D19" s="17">
        <v>0.1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487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8</vt:i4>
      </vt:variant>
    </vt:vector>
  </HeadingPairs>
  <TitlesOfParts>
    <vt:vector size="10" baseType="lpstr">
      <vt:lpstr>SIMULADOR</vt:lpstr>
      <vt:lpstr>AUXILIAR</vt:lpstr>
      <vt:lpstr>Aporte</vt:lpstr>
      <vt:lpstr>patrimonio</vt:lpstr>
      <vt:lpstr>Qtde_anos</vt:lpstr>
      <vt:lpstr>Rendimento_Carteira</vt:lpstr>
      <vt:lpstr>Rendimento_Cateira</vt:lpstr>
      <vt:lpstr>salario</vt:lpstr>
      <vt:lpstr>sugestao_investimento</vt:lpstr>
      <vt:lpstr>taxa_mensal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Simulador de Investimentos em FII</dc:title>
  <dc:subject/>
  <dc:creator>Marco Reis</dc:creator>
  <cp:keywords>HubMarco | DIO Bootcamp</cp:keywords>
  <dc:description/>
  <cp:lastModifiedBy>Marco Reis</cp:lastModifiedBy>
  <cp:revision>25</cp:revision>
  <dcterms:created xsi:type="dcterms:W3CDTF">2025-06-14T09:15:05Z</dcterms:created>
  <dcterms:modified xsi:type="dcterms:W3CDTF">2025-06-15T00:09:35Z</dcterms:modified>
  <dc:language>pt-BR</dc:language>
</cp:coreProperties>
</file>